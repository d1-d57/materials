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" sheetId="1" state="visible" r:id="rId1"/>
    <sheet xmlns:r="http://schemas.openxmlformats.org/officeDocument/2006/relationships" name="Юнит-экономика" sheetId="2" state="visible" r:id="rId2"/>
    <sheet xmlns:r="http://schemas.openxmlformats.org/officeDocument/2006/relationships" name="Тарифы" sheetId="3" state="visible" r:id="rId3"/>
    <sheet xmlns:r="http://schemas.openxmlformats.org/officeDocument/2006/relationships" name="Сервисный_сбо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i val="1"/>
      <color rgb="00808080"/>
      <sz val="9"/>
    </font>
    <font>
      <name val="Arial"/>
      <b val="1"/>
    </font>
    <font>
      <name val="Arial"/>
      <i val="1"/>
      <color rgb="00C00000"/>
      <sz val="9"/>
    </font>
    <font>
      <name val="Arial"/>
      <color rgb="00008000"/>
    </font>
    <font>
      <name val="Arial"/>
      <color rgb="00808080"/>
      <sz val="9"/>
    </font>
    <font>
      <name val="Arial"/>
      <i val="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F00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3" fontId="4" fillId="3" borderId="1" pivotButton="0" quotePrefix="0" xfId="0"/>
    <xf numFmtId="0" fontId="5" fillId="0" borderId="0" pivotButton="0" quotePrefix="0" xfId="0"/>
    <xf numFmtId="9" fontId="4" fillId="3" borderId="1" pivotButton="0" quotePrefix="0" xfId="0"/>
    <xf numFmtId="164" fontId="4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0" borderId="1" pivotButton="0" quotePrefix="0" xfId="0"/>
    <xf numFmtId="164" fontId="8" fillId="0" borderId="1" pivotButton="0" quotePrefix="0" xfId="0"/>
    <xf numFmtId="0" fontId="9" fillId="0" borderId="0" pivotButton="0" quotePrefix="0" xfId="0"/>
    <xf numFmtId="3" fontId="3" fillId="0" borderId="1" pivotButton="0" quotePrefix="0" xfId="0"/>
    <xf numFmtId="3" fontId="8" fillId="0" borderId="1" pivotButton="0" quotePrefix="0" xfId="0"/>
    <xf numFmtId="165" fontId="3" fillId="0" borderId="1" pivotButton="0" quotePrefix="0" xfId="0"/>
    <xf numFmtId="164" fontId="3" fillId="4" borderId="1" pivotButton="0" quotePrefix="0" xfId="0"/>
    <xf numFmtId="164" fontId="3" fillId="0" borderId="1" pivotButton="0" quotePrefix="0" xfId="0"/>
    <xf numFmtId="164" fontId="8" fillId="5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10" fillId="0" borderId="1" pivotButton="0" quotePrefix="0" xfId="0"/>
    <xf numFmtId="9" fontId="8" fillId="0" borderId="1" pivotButton="0" quotePrefix="0" xfId="0"/>
    <xf numFmtId="3" fontId="3" fillId="4" borderId="1" pivotButton="0" quotePrefix="0" xfId="0"/>
    <xf numFmtId="0" fontId="3" fillId="0" borderId="1" applyAlignment="1" pivotButton="0" quotePrefix="0" xfId="0">
      <alignment horizontal="center"/>
    </xf>
    <xf numFmtId="165" fontId="4" fillId="3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9" customWidth="1" min="3" max="3"/>
    <col width="60" customWidth="1" min="4" max="4"/>
  </cols>
  <sheetData>
    <row r="1">
      <c r="A1" s="1" t="inlineStr">
        <is>
          <t>Параметры модели — меняем синие ячейки на жёлтом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Ед.</t>
        </is>
      </c>
      <c r="D3" s="2" t="inlineStr">
        <is>
          <t>Комментарий</t>
        </is>
      </c>
    </row>
    <row r="4">
      <c r="A4" s="3" t="inlineStr">
        <is>
          <t>Фиксированные затраты (лизинг + страховка)</t>
        </is>
      </c>
      <c r="B4" s="4" t="n">
        <v>2000</v>
      </c>
      <c r="C4" s="3" t="inlineStr">
        <is>
          <t>руб/сут</t>
        </is>
      </c>
      <c r="D4" s="5" t="inlineStr">
        <is>
          <t>дано</t>
        </is>
      </c>
    </row>
    <row r="5">
      <c r="A5" s="3" t="inlineStr">
        <is>
          <t>Переменные затраты на пробег</t>
        </is>
      </c>
      <c r="B5" s="4" t="n">
        <v>15</v>
      </c>
      <c r="C5" s="3" t="inlineStr">
        <is>
          <t>руб/км</t>
        </is>
      </c>
      <c r="D5" s="5" t="inlineStr">
        <is>
          <t>дано</t>
        </is>
      </c>
    </row>
    <row r="6">
      <c r="A6" s="3" t="inlineStr">
        <is>
          <t>Утилизация минутной базы (эконом, доля времени под заказом)</t>
        </is>
      </c>
      <c r="B6" s="6" t="n">
        <v>0.18</v>
      </c>
      <c r="C6" s="3" t="inlineStr">
        <is>
          <t>доля</t>
        </is>
      </c>
      <c r="D6" s="5" t="inlineStr">
        <is>
          <t>📊 Москва: эконом ~94-110 км/сут / эфф.скорость -&gt; util ~16-21%; задача даёт 30% по парку, но это среднее, завышенное пакетами</t>
        </is>
      </c>
    </row>
    <row r="7">
      <c r="A7" s="3" t="inlineStr">
        <is>
          <t>Целевая GP-маржа</t>
        </is>
      </c>
      <c r="B7" s="6" t="n">
        <v>0.3</v>
      </c>
      <c r="C7" s="3" t="inlineStr">
        <is>
          <t>доля</t>
        </is>
      </c>
      <c r="D7" s="5" t="inlineStr">
        <is>
          <t>цель по gross profit</t>
        </is>
      </c>
    </row>
    <row r="8">
      <c r="A8" s="3" t="inlineStr">
        <is>
          <t>Эффективная скорость (дистанция/длительность поездки)</t>
        </is>
      </c>
      <c r="B8" s="4" t="n">
        <v>24</v>
      </c>
      <c r="C8" s="3" t="inlineStr">
        <is>
          <t>км/ч</t>
        </is>
      </c>
      <c r="D8" s="5" t="inlineStr">
        <is>
          <t>📊 Москва: ср.поездка 23 км/63 мин = 22; Делимобиль 24-27. Эффективная (со стоянками внутри) — НЕ скорость в движении</t>
        </is>
      </c>
    </row>
    <row r="9">
      <c r="A9" s="3" t="inlineStr">
        <is>
          <t>Плата за км в пакетах</t>
        </is>
      </c>
      <c r="B9" s="4" t="n">
        <v>18</v>
      </c>
      <c r="C9" s="3" t="inlineStr">
        <is>
          <t>руб/км</t>
        </is>
      </c>
      <c r="D9" s="5" t="inlineStr">
        <is>
          <t>выше предельных издержек по условию Шмалензее (R6: предельный участник легче среднего); коридор [15;21]</t>
        </is>
      </c>
    </row>
    <row r="10">
      <c r="A10" s="3" t="inlineStr">
        <is>
          <t>Поездок на машину в сутки</t>
        </is>
      </c>
      <c r="B10" s="4" t="n">
        <v>10</v>
      </c>
      <c r="C10" s="3" t="inlineStr">
        <is>
          <t>шт/сут</t>
        </is>
      </c>
      <c r="D10" s="5" t="inlineStr">
        <is>
          <t>≈ 432 мин под заказом / ~40 мин на поездку</t>
        </is>
      </c>
    </row>
    <row r="11">
      <c r="A11" s="3" t="inlineStr">
        <is>
          <t>Ходовая доля (R4): доля времени аренды в движении</t>
        </is>
      </c>
      <c r="B11" s="6" t="n">
        <v>0.55</v>
      </c>
      <c r="C11" s="3" t="inlineStr">
        <is>
          <t>доля</t>
        </is>
      </c>
      <c r="D11" s="5" t="inlineStr">
        <is>
          <t>справочно (Sprei): в эффективную скорость B8 уже заложена; для предельного пола НЕ используется — иначе двойной учёт</t>
        </is>
      </c>
    </row>
    <row r="12">
      <c r="A12" s="3" t="inlineStr">
        <is>
          <t>Теневая цена ёмкости в пик (R5)</t>
        </is>
      </c>
      <c r="B12" s="7" t="n">
        <v>0</v>
      </c>
      <c r="C12" s="3" t="inlineStr">
        <is>
          <t>руб/мин</t>
        </is>
      </c>
      <c r="D12" s="5" t="inlineStr">
        <is>
          <t>R5: off-peak ≈ 0; в пик растёт и поднимает предельный пол (peak-load)</t>
        </is>
      </c>
    </row>
    <row r="13">
      <c r="A13" s="8" t="inlineStr">
        <is>
          <t>Утилизация по длительности аренды (доля времени под заказом)</t>
        </is>
      </c>
    </row>
    <row r="14">
      <c r="A14" s="2" t="inlineStr">
        <is>
          <t>Тариф</t>
        </is>
      </c>
      <c r="B14" s="2" t="inlineStr">
        <is>
          <t>Утилизация</t>
        </is>
      </c>
      <c r="D14" s="9" t="inlineStr">
        <is>
          <t>ВАЖНО: замените на реальную утилизацию по длительностям из вашей статистики</t>
        </is>
      </c>
    </row>
    <row r="15">
      <c r="A15" s="10" t="inlineStr">
        <is>
          <t>1 час</t>
        </is>
      </c>
      <c r="B15" s="6" t="n">
        <v>0.4</v>
      </c>
    </row>
    <row r="16">
      <c r="A16" s="10" t="inlineStr">
        <is>
          <t>2 часа</t>
        </is>
      </c>
      <c r="B16" s="6" t="n">
        <v>0.45</v>
      </c>
    </row>
    <row r="17">
      <c r="A17" s="10" t="inlineStr">
        <is>
          <t>3 часа</t>
        </is>
      </c>
      <c r="B17" s="6" t="n">
        <v>0.5</v>
      </c>
    </row>
    <row r="18">
      <c r="A18" s="10" t="inlineStr">
        <is>
          <t>6 часов</t>
        </is>
      </c>
      <c r="B18" s="6" t="n">
        <v>0.55</v>
      </c>
    </row>
    <row r="19">
      <c r="A19" s="10" t="inlineStr">
        <is>
          <t>12 часов</t>
        </is>
      </c>
      <c r="B19" s="6" t="n">
        <v>0.7</v>
      </c>
    </row>
    <row r="20">
      <c r="A20" s="10" t="inlineStr">
        <is>
          <t>1 сутки</t>
        </is>
      </c>
      <c r="B20" s="6" t="n">
        <v>0.85</v>
      </c>
    </row>
    <row r="21">
      <c r="A21" s="10" t="inlineStr">
        <is>
          <t>7 суток</t>
        </is>
      </c>
      <c r="B21" s="6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9" customWidth="1" min="3" max="3"/>
  </cols>
  <sheetData>
    <row r="1">
      <c r="A1" s="1" t="inlineStr">
        <is>
          <t>Юнит-экономика средней машины (база = минутный тариф)</t>
        </is>
      </c>
    </row>
    <row r="3">
      <c r="A3" s="3" t="inlineStr">
        <is>
          <t>Часов под заказом в сутки</t>
        </is>
      </c>
      <c r="B3" s="11">
        <f>24*Параметры!B6</f>
        <v/>
      </c>
      <c r="C3" s="12" t="inlineStr">
        <is>
          <t>ч</t>
        </is>
      </c>
    </row>
    <row r="4">
      <c r="A4" s="3" t="inlineStr">
        <is>
          <t>Минут под заказом в сутки</t>
        </is>
      </c>
      <c r="B4" s="13">
        <f>B3*60</f>
        <v/>
      </c>
      <c r="C4" s="12" t="inlineStr">
        <is>
          <t>мин</t>
        </is>
      </c>
    </row>
    <row r="5">
      <c r="A5" s="3" t="inlineStr">
        <is>
          <t>Пробег в сутки</t>
        </is>
      </c>
      <c r="B5" s="14">
        <f>B3*Параметры!B8</f>
        <v/>
      </c>
      <c r="C5" s="12" t="inlineStr">
        <is>
          <t>км</t>
        </is>
      </c>
    </row>
    <row r="7">
      <c r="A7" s="3" t="inlineStr">
        <is>
          <t>Фиксированные затраты / сут</t>
        </is>
      </c>
      <c r="B7" s="14">
        <f>Параметры!B4</f>
        <v/>
      </c>
      <c r="C7" s="12" t="inlineStr">
        <is>
          <t>руб</t>
        </is>
      </c>
    </row>
    <row r="8">
      <c r="A8" s="3" t="inlineStr">
        <is>
          <t>Переменные затраты / сут</t>
        </is>
      </c>
      <c r="B8" s="14">
        <f>B5*Параметры!B5</f>
        <v/>
      </c>
      <c r="C8" s="12" t="inlineStr">
        <is>
          <t>руб</t>
        </is>
      </c>
    </row>
    <row r="9">
      <c r="A9" s="8" t="inlineStr">
        <is>
          <t>Итого затраты / сут</t>
        </is>
      </c>
      <c r="B9" s="13">
        <f>B7+B8</f>
        <v/>
      </c>
      <c r="C9" s="12" t="inlineStr">
        <is>
          <t>руб</t>
        </is>
      </c>
    </row>
    <row r="11">
      <c r="A11" s="8" t="inlineStr">
        <is>
          <t>Выручка для целевой маржи</t>
        </is>
      </c>
      <c r="B11" s="14">
        <f>B9/(1-Параметры!B7)</f>
        <v/>
      </c>
      <c r="C11" s="12" t="inlineStr">
        <is>
          <t>руб</t>
        </is>
      </c>
    </row>
    <row r="12">
      <c r="A12" s="3" t="inlineStr">
        <is>
          <t>Gross Profit / сут</t>
        </is>
      </c>
      <c r="B12" s="13">
        <f>B11-B9</f>
        <v/>
      </c>
      <c r="C12" s="12" t="inlineStr">
        <is>
          <t>руб</t>
        </is>
      </c>
    </row>
    <row r="13">
      <c r="A13" s="3" t="inlineStr">
        <is>
          <t>Факт. GP-маржа (проверка)</t>
        </is>
      </c>
      <c r="B13" s="15">
        <f>B12/B11</f>
        <v/>
      </c>
      <c r="C13" s="12" t="inlineStr">
        <is>
          <t>%</t>
        </is>
      </c>
    </row>
    <row r="15">
      <c r="A15" s="8" t="inlineStr">
        <is>
          <t>Минутный тариф</t>
        </is>
      </c>
    </row>
    <row r="16">
      <c r="A16" s="8" t="inlineStr">
        <is>
          <t>Ставка, руб/мин</t>
        </is>
      </c>
      <c r="B16" s="16">
        <f>B11/B4</f>
        <v/>
      </c>
      <c r="C16" s="12" t="inlineStr">
        <is>
          <t>руб/мин</t>
        </is>
      </c>
    </row>
    <row r="17">
      <c r="A17" s="3" t="inlineStr">
        <is>
          <t>— фикс. компонента (покрывает простой)</t>
        </is>
      </c>
      <c r="B17" s="17">
        <f>B7/B4</f>
        <v/>
      </c>
      <c r="C17" s="12" t="inlineStr">
        <is>
          <t>руб/мин</t>
        </is>
      </c>
    </row>
    <row r="18">
      <c r="A18" s="3" t="inlineStr">
        <is>
          <t>— перем. компонента (себест. за минуты движения)</t>
        </is>
      </c>
      <c r="B18" s="11">
        <f>(Параметры!B8/60)*Параметры!B5</f>
        <v/>
      </c>
      <c r="C18" s="12" t="inlineStr">
        <is>
          <t>руб/мин</t>
        </is>
      </c>
    </row>
    <row r="19">
      <c r="A19" s="3" t="inlineStr">
        <is>
          <t>— себестоимость, руб/мин</t>
        </is>
      </c>
      <c r="B19" s="17">
        <f>B17+B18</f>
        <v/>
      </c>
      <c r="C19" s="12" t="inlineStr">
        <is>
          <t>руб/мин</t>
        </is>
      </c>
    </row>
    <row r="20">
      <c r="A20" s="3" t="inlineStr">
        <is>
          <t>— с маржой /(1-маржа), сверка с B16</t>
        </is>
      </c>
      <c r="B20" s="11">
        <f>B19/(1-Параметры!B7)</f>
        <v/>
      </c>
      <c r="C20" s="12" t="inlineStr">
        <is>
          <t>руб/мин</t>
        </is>
      </c>
    </row>
    <row r="22">
      <c r="A22" s="8" t="inlineStr">
        <is>
          <t>Предельный пол vs средний таргет (R5)</t>
        </is>
      </c>
    </row>
    <row r="23">
      <c r="A23" s="3" t="inlineStr">
        <is>
          <t>Средний таргет безубыточности (FDC + маржа) = ставка B16</t>
        </is>
      </c>
      <c r="B23" s="17">
        <f>B16</f>
        <v/>
      </c>
      <c r="C23" s="12" t="inlineStr">
        <is>
          <t>руб/мин</t>
        </is>
      </c>
    </row>
    <row r="24">
      <c r="A24" s="3" t="inlineStr">
        <is>
          <t>Предельный пол — вариативная компонента, ₽ за минуту аренды</t>
        </is>
      </c>
      <c r="B24" s="18">
        <f>B18</f>
        <v/>
      </c>
      <c r="C24" s="12" t="inlineStr">
        <is>
          <t>руб/мин</t>
        </is>
      </c>
    </row>
    <row r="25">
      <c r="A25" s="3" t="inlineStr">
        <is>
          <t>Предельный пол, off-peak — на забронированную минуту (B8 эффективная -&gt; без ×ходовая доля)</t>
        </is>
      </c>
      <c r="B25" s="18">
        <f>B18</f>
        <v/>
      </c>
      <c r="C25" s="12" t="inlineStr">
        <is>
          <t>руб/мин</t>
        </is>
      </c>
    </row>
    <row r="26">
      <c r="A26" s="3" t="inlineStr">
        <is>
          <t>Предельный пол, peak (+ теневая цена ёмкости)</t>
        </is>
      </c>
      <c r="B26" s="17">
        <f>B25+Параметры!B12</f>
        <v/>
      </c>
      <c r="C26" s="12" t="inlineStr">
        <is>
          <t>руб/мин</t>
        </is>
      </c>
    </row>
    <row r="27">
      <c r="A27" s="3" t="inlineStr">
        <is>
          <t>Рыночный ориентир эконом-минуты (📊 Москва ~8.5)</t>
        </is>
      </c>
      <c r="B27" s="7" t="n">
        <v>8.5</v>
      </c>
      <c r="C27" s="12" t="inlineStr">
        <is>
          <t>руб/мин</t>
        </is>
      </c>
    </row>
    <row r="28">
      <c r="A28" s="9" t="inlineStr">
        <is>
          <t>Данные Москвы: пол ~6 &lt; рынок ~8.5 ≪ таргет ~20. Рынок впритык над полом, далеко под таргетом — фикс отбивается не минутной ставкой</t>
        </is>
      </c>
    </row>
    <row r="29">
      <c r="A29" s="5" t="inlineStr">
        <is>
          <t>Пол = операционные предельные + теневая цена ёмкости (статически peak-load, динамически Беллман)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Тарифная сетка: фикс-ставка за час падает с длительностью — это и есть «пакет дешевле»</t>
        </is>
      </c>
    </row>
    <row r="3">
      <c r="A3" s="19" t="inlineStr">
        <is>
          <t>Тариф</t>
        </is>
      </c>
      <c r="B3" s="19" t="inlineStr">
        <is>
          <t>Утилизация</t>
        </is>
      </c>
      <c r="C3" s="19" t="inlineStr">
        <is>
          <t>Фикс-затрата
на час под заказом, руб</t>
        </is>
      </c>
      <c r="D3" s="19" t="inlineStr">
        <is>
          <t>Фикс-плата за час
(с маржой), руб/ч</t>
        </is>
      </c>
      <c r="E3" s="19" t="inlineStr">
        <is>
          <t>Часов
в аренде</t>
        </is>
      </c>
      <c r="F3" s="19" t="inlineStr">
        <is>
          <t>Фикс-плата за
весь пакет, руб</t>
        </is>
      </c>
      <c r="G3" s="19" t="inlineStr">
        <is>
          <t>Плата за км,
руб</t>
        </is>
      </c>
      <c r="H3" s="19" t="inlineStr">
        <is>
          <t>Себест.
за км, руб</t>
        </is>
      </c>
      <c r="I3" s="19" t="inlineStr">
        <is>
          <t>Пример: пакет
+ 30 км, руб</t>
        </is>
      </c>
    </row>
    <row r="4">
      <c r="A4" s="20" t="inlineStr">
        <is>
          <t>Минутный (справочно)</t>
        </is>
      </c>
      <c r="B4" s="21">
        <f>Параметры!B6</f>
        <v/>
      </c>
      <c r="C4" s="13">
        <f>Параметры!B4/(24*B4)</f>
        <v/>
      </c>
      <c r="D4" s="22">
        <f>C4/(1-Параметры!B7)</f>
        <v/>
      </c>
      <c r="E4" s="23" t="inlineStr">
        <is>
          <t>—</t>
        </is>
      </c>
      <c r="F4" s="23" t="inlineStr">
        <is>
          <t>—</t>
        </is>
      </c>
      <c r="G4" s="13">
        <f>(Параметры!B8/60)*Параметры!B5/(1-Параметры!B7)</f>
        <v/>
      </c>
      <c r="H4" s="14">
        <f>Параметры!B5</f>
        <v/>
      </c>
      <c r="I4" s="23" t="inlineStr">
        <is>
          <t>—</t>
        </is>
      </c>
    </row>
    <row r="5">
      <c r="A5" s="10" t="inlineStr">
        <is>
          <t>1 час</t>
        </is>
      </c>
      <c r="B5" s="21">
        <f>Параметры!B15</f>
        <v/>
      </c>
      <c r="C5" s="13">
        <f>Параметры!B4/(24*B5)</f>
        <v/>
      </c>
      <c r="D5" s="22">
        <f>C5/(1-Параметры!B7)</f>
        <v/>
      </c>
      <c r="E5" s="13" t="n">
        <v>1</v>
      </c>
      <c r="F5" s="13">
        <f>D5*E5</f>
        <v/>
      </c>
      <c r="G5" s="14">
        <f>Параметры!B9</f>
        <v/>
      </c>
      <c r="H5" s="14">
        <f>Параметры!B5</f>
        <v/>
      </c>
      <c r="I5" s="13">
        <f>F5+G5*30</f>
        <v/>
      </c>
    </row>
    <row r="6">
      <c r="A6" s="10" t="inlineStr">
        <is>
          <t>2 часа</t>
        </is>
      </c>
      <c r="B6" s="21">
        <f>Параметры!B16</f>
        <v/>
      </c>
      <c r="C6" s="13">
        <f>Параметры!B4/(24*B6)</f>
        <v/>
      </c>
      <c r="D6" s="22">
        <f>C6/(1-Параметры!B7)</f>
        <v/>
      </c>
      <c r="E6" s="13" t="n">
        <v>2</v>
      </c>
      <c r="F6" s="13">
        <f>D6*E6</f>
        <v/>
      </c>
      <c r="G6" s="14">
        <f>Параметры!B9</f>
        <v/>
      </c>
      <c r="H6" s="14">
        <f>Параметры!B5</f>
        <v/>
      </c>
      <c r="I6" s="13">
        <f>F6+G6*30</f>
        <v/>
      </c>
    </row>
    <row r="7">
      <c r="A7" s="10" t="inlineStr">
        <is>
          <t>3 часа</t>
        </is>
      </c>
      <c r="B7" s="21">
        <f>Параметры!B17</f>
        <v/>
      </c>
      <c r="C7" s="13">
        <f>Параметры!B4/(24*B7)</f>
        <v/>
      </c>
      <c r="D7" s="22">
        <f>C7/(1-Параметры!B7)</f>
        <v/>
      </c>
      <c r="E7" s="13" t="n">
        <v>3</v>
      </c>
      <c r="F7" s="13">
        <f>D7*E7</f>
        <v/>
      </c>
      <c r="G7" s="14">
        <f>Параметры!B9</f>
        <v/>
      </c>
      <c r="H7" s="14">
        <f>Параметры!B5</f>
        <v/>
      </c>
      <c r="I7" s="13">
        <f>F7+G7*30</f>
        <v/>
      </c>
    </row>
    <row r="8">
      <c r="A8" s="10" t="inlineStr">
        <is>
          <t>6 часов</t>
        </is>
      </c>
      <c r="B8" s="21">
        <f>Параметры!B18</f>
        <v/>
      </c>
      <c r="C8" s="13">
        <f>Параметры!B4/(24*B8)</f>
        <v/>
      </c>
      <c r="D8" s="22">
        <f>C8/(1-Параметры!B7)</f>
        <v/>
      </c>
      <c r="E8" s="13" t="n">
        <v>6</v>
      </c>
      <c r="F8" s="13">
        <f>D8*E8</f>
        <v/>
      </c>
      <c r="G8" s="14">
        <f>Параметры!B9</f>
        <v/>
      </c>
      <c r="H8" s="14">
        <f>Параметры!B5</f>
        <v/>
      </c>
      <c r="I8" s="13">
        <f>F8+G8*30</f>
        <v/>
      </c>
    </row>
    <row r="9">
      <c r="A9" s="10" t="inlineStr">
        <is>
          <t>12 часов</t>
        </is>
      </c>
      <c r="B9" s="21">
        <f>Параметры!B19</f>
        <v/>
      </c>
      <c r="C9" s="13">
        <f>Параметры!B4/(24*B9)</f>
        <v/>
      </c>
      <c r="D9" s="22">
        <f>C9/(1-Параметры!B7)</f>
        <v/>
      </c>
      <c r="E9" s="13" t="n">
        <v>12</v>
      </c>
      <c r="F9" s="13">
        <f>D9*E9</f>
        <v/>
      </c>
      <c r="G9" s="14">
        <f>Параметры!B9</f>
        <v/>
      </c>
      <c r="H9" s="14">
        <f>Параметры!B5</f>
        <v/>
      </c>
      <c r="I9" s="13">
        <f>F9+G9*30</f>
        <v/>
      </c>
    </row>
    <row r="10">
      <c r="A10" s="10" t="inlineStr">
        <is>
          <t>1 сутки</t>
        </is>
      </c>
      <c r="B10" s="21">
        <f>Параметры!B20</f>
        <v/>
      </c>
      <c r="C10" s="13">
        <f>Параметры!B4/(24*B10)</f>
        <v/>
      </c>
      <c r="D10" s="22">
        <f>C10/(1-Параметры!B7)</f>
        <v/>
      </c>
      <c r="E10" s="13" t="n">
        <v>24</v>
      </c>
      <c r="F10" s="13">
        <f>D10*E10</f>
        <v/>
      </c>
      <c r="G10" s="14">
        <f>Параметры!B9</f>
        <v/>
      </c>
      <c r="H10" s="14">
        <f>Параметры!B5</f>
        <v/>
      </c>
      <c r="I10" s="13">
        <f>F10+G10*30</f>
        <v/>
      </c>
    </row>
    <row r="11">
      <c r="A11" s="10" t="inlineStr">
        <is>
          <t>7 суток</t>
        </is>
      </c>
      <c r="B11" s="21">
        <f>Параметры!B21</f>
        <v/>
      </c>
      <c r="C11" s="13">
        <f>Параметры!B4/(24*B11)</f>
        <v/>
      </c>
      <c r="D11" s="22">
        <f>C11/(1-Параметры!B7)</f>
        <v/>
      </c>
      <c r="E11" s="13" t="n">
        <v>168</v>
      </c>
      <c r="F11" s="13">
        <f>D11*E11</f>
        <v/>
      </c>
      <c r="G11" s="14">
        <f>Параметры!B9</f>
        <v/>
      </c>
      <c r="H11" s="14">
        <f>Параметры!B5</f>
        <v/>
      </c>
      <c r="I11" s="13">
        <f>F11+G11*30</f>
        <v/>
      </c>
    </row>
    <row r="14">
      <c r="A14" s="8" t="inlineStr">
        <is>
          <t>Фиксированный тариф А→Б (на примере одной поездки)</t>
        </is>
      </c>
    </row>
    <row r="15">
      <c r="A15" s="3" t="inlineStr">
        <is>
          <t>Прогноз пробега</t>
        </is>
      </c>
      <c r="B15" s="4" t="n">
        <v>10</v>
      </c>
      <c r="C15" s="12" t="inlineStr">
        <is>
          <t>км</t>
        </is>
      </c>
    </row>
    <row r="16">
      <c r="A16" s="3" t="inlineStr">
        <is>
          <t>Прогноз длительности</t>
        </is>
      </c>
      <c r="B16" s="4" t="n">
        <v>24</v>
      </c>
      <c r="C16" s="12" t="inlineStr">
        <is>
          <t>мин</t>
        </is>
      </c>
    </row>
    <row r="17">
      <c r="A17" s="3" t="inlineStr">
        <is>
          <t>Себестоимость поездки</t>
        </is>
      </c>
      <c r="B17" s="14">
        <f>(Параметры!B4/'Юнит-экономика'!B4)*B16+Параметры!B5*B15</f>
        <v/>
      </c>
      <c r="C17" s="12" t="inlineStr">
        <is>
          <t>руб</t>
        </is>
      </c>
    </row>
    <row r="18">
      <c r="A18" s="3" t="inlineStr">
        <is>
          <t>Цена по себестоимости с маржой</t>
        </is>
      </c>
      <c r="B18" s="13">
        <f>B17/(1-Параметры!B7)</f>
        <v/>
      </c>
      <c r="C18" s="12" t="inlineStr">
        <is>
          <t>руб</t>
        </is>
      </c>
    </row>
    <row r="19">
      <c r="A19" s="3" t="inlineStr">
        <is>
          <t>Коммерческая скидка А→Б (стимул брать фикс)</t>
        </is>
      </c>
      <c r="B19" s="24" t="n">
        <v>0.07000000000000001</v>
      </c>
      <c r="C19" s="12" t="inlineStr">
        <is>
          <t>доля</t>
        </is>
      </c>
    </row>
    <row r="20">
      <c r="A20" s="3" t="inlineStr">
        <is>
          <t>Итоговая цена А→Б</t>
        </is>
      </c>
      <c r="B20" s="22">
        <f>B18*(1-B19)</f>
        <v/>
      </c>
      <c r="C20" s="12" t="inlineStr">
        <is>
          <t>руб</t>
        </is>
      </c>
    </row>
    <row r="21">
      <c r="A21" s="3" t="inlineStr">
        <is>
          <t>Та же поездка минутным тарифом</t>
        </is>
      </c>
      <c r="B21" s="14">
        <f>B16*'Юнит-экономика'!B16</f>
        <v/>
      </c>
      <c r="C21" s="12" t="inlineStr">
        <is>
          <t>руб</t>
        </is>
      </c>
    </row>
    <row r="22">
      <c r="A22" s="3" t="inlineStr">
        <is>
          <t>Выгода клиента к минутному</t>
        </is>
      </c>
      <c r="B22" s="15">
        <f>1-B20/B21</f>
        <v/>
      </c>
      <c r="C22" s="12" t="inlineStr">
        <is>
          <t>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Сервисный сбор: фикс. плата за поездку поверх тарифа</t>
        </is>
      </c>
    </row>
    <row r="3">
      <c r="A3" s="3" t="inlineStr">
        <is>
          <t>Базовая выручка / сут (без сбора)</t>
        </is>
      </c>
      <c r="B3" s="14">
        <f>'Юнит-экономика'!B11</f>
        <v/>
      </c>
    </row>
    <row r="4">
      <c r="A4" s="3" t="inlineStr">
        <is>
          <t>Затраты / сут</t>
        </is>
      </c>
      <c r="B4" s="14">
        <f>'Юнит-экономика'!B9</f>
        <v/>
      </c>
    </row>
    <row r="5">
      <c r="A5" s="3" t="inlineStr">
        <is>
          <t>Поездок / сут</t>
        </is>
      </c>
      <c r="B5" s="14">
        <f>Параметры!B10</f>
        <v/>
      </c>
    </row>
    <row r="6">
      <c r="A6" s="3" t="inlineStr">
        <is>
          <t>Средний чек поездки</t>
        </is>
      </c>
      <c r="B6" s="13">
        <f>B3/B5</f>
        <v/>
      </c>
    </row>
    <row r="8">
      <c r="A8" s="8" t="inlineStr">
        <is>
          <t>Сценарии размера сбора</t>
        </is>
      </c>
    </row>
    <row r="9">
      <c r="A9" s="2" t="inlineStr">
        <is>
          <t>Сбор за поездку, руб</t>
        </is>
      </c>
      <c r="B9" s="4" t="n">
        <v>30</v>
      </c>
      <c r="C9" s="4" t="n">
        <v>50</v>
      </c>
      <c r="D9" s="4" t="n">
        <v>80</v>
      </c>
    </row>
    <row r="10">
      <c r="A10" s="3" t="inlineStr">
        <is>
          <t>Доп. выручка / сут</t>
        </is>
      </c>
      <c r="B10" s="13">
        <f>$B$5*B9</f>
        <v/>
      </c>
      <c r="C10" s="13">
        <f>$B$5*C9</f>
        <v/>
      </c>
      <c r="D10" s="13">
        <f>$B$5*D9</f>
        <v/>
      </c>
    </row>
    <row r="11">
      <c r="A11" s="3" t="inlineStr">
        <is>
          <t>Новая выручка / сут (ставки прежние)</t>
        </is>
      </c>
      <c r="B11" s="13">
        <f>$B$3+B10</f>
        <v/>
      </c>
      <c r="C11" s="13">
        <f>$B$3+C10</f>
        <v/>
      </c>
      <c r="D11" s="13">
        <f>$B$3+D10</f>
        <v/>
      </c>
    </row>
    <row r="12">
      <c r="A12" s="3" t="inlineStr">
        <is>
          <t>Новая GP-маржа</t>
        </is>
      </c>
      <c r="B12" s="15">
        <f>($B$3+B10-$B$4)/($B$3+B10)</f>
        <v/>
      </c>
      <c r="C12" s="15">
        <f>($B$3+C10-$B$4)/($B$3+C10)</f>
        <v/>
      </c>
      <c r="D12" s="15">
        <f>($B$3+D10-$B$4)/($B$3+D10)</f>
        <v/>
      </c>
    </row>
    <row r="13">
      <c r="A13" s="3" t="inlineStr">
        <is>
          <t>Сбор как % среднего чека</t>
        </is>
      </c>
      <c r="B13" s="15">
        <f>B9/$B$6</f>
        <v/>
      </c>
      <c r="C13" s="15">
        <f>C9/$B$6</f>
        <v/>
      </c>
      <c r="D13" s="15">
        <f>D9/$B$6</f>
        <v/>
      </c>
    </row>
    <row r="15">
      <c r="A15" s="8" t="inlineStr">
        <is>
          <t>Альтернатива: держим маржу 30%, снижаем минутную ставку</t>
        </is>
      </c>
    </row>
    <row r="16">
      <c r="A16" s="3" t="inlineStr">
        <is>
          <t>Целевая общая выручка (= затраты / (1-маржа))</t>
        </is>
      </c>
      <c r="B16" s="14">
        <f>$B$4/(1-Параметры!B7)</f>
        <v/>
      </c>
    </row>
    <row r="17">
      <c r="A17" s="3" t="inlineStr">
        <is>
          <t>Нужная выручка с тарифа (минус сбор)</t>
        </is>
      </c>
      <c r="B17" s="13">
        <f>$B$16-B10</f>
        <v/>
      </c>
      <c r="C17" s="13">
        <f>$B$16-C10</f>
        <v/>
      </c>
      <c r="D17" s="13">
        <f>$B$16-D10</f>
        <v/>
      </c>
    </row>
    <row r="18">
      <c r="A18" s="3" t="inlineStr">
        <is>
          <t>Новая минутная ставка, руб/мин</t>
        </is>
      </c>
      <c r="B18" s="11">
        <f>B17/'Юнит-экономика'!B4</f>
        <v/>
      </c>
      <c r="C18" s="11">
        <f>C17/'Юнит-экономика'!B4</f>
        <v/>
      </c>
      <c r="D18" s="11">
        <f>D17/'Юнит-экономика'!B4</f>
        <v/>
      </c>
    </row>
    <row r="19">
      <c r="A19" s="3" t="inlineStr">
        <is>
          <t>Базовая минутная ставка (для сравнения)</t>
        </is>
      </c>
      <c r="B19" s="11">
        <f>'Юнит-экономика'!B16</f>
        <v/>
      </c>
    </row>
    <row r="21">
      <c r="A21" s="8" t="inlineStr">
        <is>
          <t>На что влияет сбор:</t>
        </is>
      </c>
    </row>
    <row r="22">
      <c r="A22" s="25" t="inlineStr">
        <is>
          <t>•  сильнее всего бьёт по коротким поездкам (сбор = большая доля чека) → может срезать частые короткие сценарии</t>
        </is>
      </c>
    </row>
    <row r="23">
      <c r="A23" s="25" t="inlineStr">
        <is>
          <t>•  двигает выручку из заметной минутной ставки в незаметный фикс → можно показывать ставку ниже конкурентов</t>
        </is>
      </c>
    </row>
    <row r="24">
      <c r="A24" s="25" t="inlineStr">
        <is>
          <t>•  честно собирает фикс. косты на поездку (подача, уборка, поддержка, страховка), не зависящие от км/времени</t>
        </is>
      </c>
    </row>
    <row r="25">
      <c r="A25" s="25" t="inlineStr">
        <is>
          <t>•  риски: падение конверсии в бронь, отток high-frequency юзеров; смягчается порогом/освобождением для подписки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2026-06-24T22:47:56Z</dcterms:created>
  <dcterms:modified xmlns:dcterms="http://purl.org/dc/terms/" xmlns:xsi="http://www.w3.org/2001/XMLSchema-instance" xsi:type="dcterms:W3CDTF">2026-06-24T22:47:56Z</dcterms:modified>
</cp:coreProperties>
</file>